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" sheetId="1" state="visible" r:id="rId1"/>
    <sheet xmlns:r="http://schemas.openxmlformats.org/officeDocument/2006/relationships" name="FISCALITÉ" sheetId="2" state="visible" r:id="rId2"/>
    <sheet xmlns:r="http://schemas.openxmlformats.org/officeDocument/2006/relationships" name="PATRIMOINE" sheetId="3" state="visible" r:id="rId3"/>
    <sheet xmlns:r="http://schemas.openxmlformats.org/officeDocument/2006/relationships" name="RETRAITE" sheetId="4" state="visible" r:id="rId4"/>
    <sheet xmlns:r="http://schemas.openxmlformats.org/officeDocument/2006/relationships" name="SCENARIO 1" sheetId="5" state="visible" r:id="rId5"/>
    <sheet xmlns:r="http://schemas.openxmlformats.org/officeDocument/2006/relationships" name="SCENARIO 2" sheetId="6" state="visible" r:id="rId6"/>
    <sheet xmlns:r="http://schemas.openxmlformats.org/officeDocument/2006/relationships" name="SCENARIO 3" sheetId="7" state="visible" r:id="rId7"/>
    <sheet xmlns:r="http://schemas.openxmlformats.org/officeDocument/2006/relationships" name="SYNTHÈSE" sheetId="8" state="visible" r:id="rId8"/>
    <sheet xmlns:r="http://schemas.openxmlformats.org/officeDocument/2006/relationships" name="EXPORT J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A1A2E"/>
      <sz val="10"/>
    </font>
    <font>
      <name val="Calibri"/>
      <sz val="10"/>
    </font>
    <font>
      <name val="Calibri"/>
      <i val="1"/>
      <color rgb="00707070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FFFFFF"/>
      <sz val="12"/>
    </font>
    <font>
      <name val="Calibri"/>
      <b val="1"/>
      <color rgb="002E7D32"/>
      <sz val="11"/>
    </font>
    <font>
      <name val="Calibri"/>
      <i val="1"/>
      <sz val="10"/>
    </font>
    <font>
      <name val="Calibri"/>
      <b val="1"/>
      <color rgb="001A1A2E"/>
      <sz val="11"/>
    </font>
    <font>
      <name val="Courier New"/>
      <sz val="9"/>
    </font>
  </fonts>
  <fills count="9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C9A84C"/>
        <bgColor rgb="00C9A84C"/>
      </patternFill>
    </fill>
    <fill>
      <patternFill patternType="solid">
        <fgColor rgb="00F5F1E8"/>
        <bgColor rgb="00F5F1E8"/>
      </patternFill>
    </fill>
    <fill>
      <patternFill patternType="solid">
        <fgColor rgb="00FFFFFF"/>
        <bgColor rgb="00FFFFFF"/>
      </patternFill>
    </fill>
    <fill>
      <patternFill patternType="solid">
        <fgColor rgb="00E8F4F8"/>
        <bgColor rgb="00E8F4F8"/>
      </patternFill>
    </fill>
    <fill>
      <patternFill patternType="solid">
        <fgColor rgb="002E7D32"/>
        <bgColor rgb="002E7D32"/>
      </patternFill>
    </fill>
    <fill>
      <patternFill patternType="solid">
        <fgColor rgb="00FFF3CD"/>
        <bgColor rgb="00FFF3CD"/>
      </patternFill>
    </fill>
  </fills>
  <borders count="3">
    <border>
      <left/>
      <right/>
      <top/>
      <bottom/>
      <diagonal/>
    </border>
    <border>
      <left style="thin">
        <color rgb="00C9A84C"/>
      </left>
      <right style="thin">
        <color rgb="00C9A84C"/>
      </right>
      <top style="thin">
        <color rgb="00C9A84C"/>
      </top>
      <bottom style="thin">
        <color rgb="00C9A84C"/>
      </bottom>
    </border>
    <border/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0" fillId="5" borderId="1" pivotButton="0" quotePrefix="0" xfId="0"/>
    <xf numFmtId="0" fontId="2" fillId="3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3" fontId="0" fillId="5" borderId="1" pivotButton="0" quotePrefix="0" xfId="0"/>
    <xf numFmtId="3" fontId="5" fillId="6" borderId="1" pivotButton="0" quotePrefix="0" xfId="0"/>
    <xf numFmtId="2" fontId="5" fillId="6" borderId="0" pivotButton="0" quotePrefix="0" xfId="0"/>
    <xf numFmtId="3" fontId="5" fillId="6" borderId="0" pivotButton="0" quotePrefix="0" xfId="0"/>
    <xf numFmtId="0" fontId="6" fillId="7" borderId="0" pivotButton="0" quotePrefix="0" xfId="0"/>
    <xf numFmtId="3" fontId="2" fillId="7" borderId="0" pivotButton="0" quotePrefix="0" xfId="0"/>
    <xf numFmtId="0" fontId="7" fillId="0" borderId="0" pivotButton="0" quotePrefix="0" xfId="0"/>
    <xf numFmtId="0" fontId="8" fillId="2" borderId="0" pivotButton="0" quotePrefix="0" xfId="0"/>
    <xf numFmtId="3" fontId="8" fillId="2" borderId="0" pivotButton="0" quotePrefix="0" xfId="0"/>
    <xf numFmtId="0" fontId="5" fillId="6" borderId="0" pivotButton="0" quotePrefix="0" xfId="0"/>
    <xf numFmtId="2" fontId="0" fillId="5" borderId="1" pivotButton="0" quotePrefix="0" xfId="0"/>
    <xf numFmtId="3" fontId="6" fillId="7" borderId="0" pivotButton="0" quotePrefix="0" xfId="0"/>
    <xf numFmtId="3" fontId="7" fillId="8" borderId="0" pivotButton="0" quotePrefix="0" xfId="0"/>
    <xf numFmtId="3" fontId="0" fillId="6" borderId="2" pivotButton="0" quotePrefix="0" xfId="0"/>
    <xf numFmtId="3" fontId="5" fillId="6" borderId="0" applyAlignment="1" pivotButton="0" quotePrefix="0" xfId="0">
      <alignment horizontal="right"/>
    </xf>
    <xf numFmtId="0" fontId="9" fillId="0" borderId="0" pivotButton="0" quotePrefix="0" xfId="0"/>
    <xf numFmtId="0" fontId="10" fillId="0" borderId="0" pivotButton="0" quotePrefix="0" xfId="0"/>
    <xf numFmtId="0" fontId="1" fillId="2" borderId="0" pivotButton="0" quotePrefix="0" xfId="0"/>
    <xf numFmtId="0" fontId="11" fillId="0" borderId="0" pivotButton="0" quotePrefix="0" xfId="0"/>
    <xf numFmtId="0" fontId="4" fillId="0" borderId="0" applyAlignment="1" pivotButton="0" quotePrefix="0" xfId="0">
      <alignment wrapText="1"/>
    </xf>
    <xf numFmtId="0" fontId="6" fillId="2" borderId="0" pivotButton="0" quotePrefix="0" xfId="0"/>
    <xf numFmtId="0" fontId="1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35" customWidth="1" min="4" max="4"/>
  </cols>
  <sheetData>
    <row r="1" ht="25" customHeight="1">
      <c r="A1" s="1" t="inlineStr">
        <is>
          <t>HERITUM — FICHE CLIENT</t>
        </is>
      </c>
    </row>
    <row r="2" ht="20" customHeight="1">
      <c r="A2" s="2" t="inlineStr">
        <is>
          <t>Informations personnelles et situation familiale</t>
        </is>
      </c>
    </row>
    <row r="4" ht="20" customHeight="1">
      <c r="A4" s="3" t="inlineStr">
        <is>
          <t>PRÉNOM PRINCIPAL</t>
        </is>
      </c>
      <c r="B4" s="4" t="n"/>
    </row>
    <row r="5" ht="20" customHeight="1">
      <c r="A5" s="3" t="inlineStr">
        <is>
          <t>NOM PRINCIPAL</t>
        </is>
      </c>
      <c r="B5" s="4" t="n"/>
    </row>
    <row r="6" ht="20" customHeight="1">
      <c r="A6" s="3" t="inlineStr">
        <is>
          <t>ÂGE PRINCIPAL</t>
        </is>
      </c>
      <c r="B6" s="4" t="n"/>
    </row>
    <row r="7" ht="20" customHeight="1">
      <c r="A7" s="3" t="inlineStr">
        <is>
          <t>EMAIL</t>
        </is>
      </c>
      <c r="B7" s="4" t="n"/>
    </row>
    <row r="8" ht="20" customHeight="1">
      <c r="A8" s="3" t="inlineStr">
        <is>
          <t>RÉFÉRENCE DOSSIER</t>
        </is>
      </c>
      <c r="B8" s="4" t="n"/>
    </row>
    <row r="10">
      <c r="A10" s="2" t="inlineStr">
        <is>
          <t>SITUATION DU CONJOINT</t>
        </is>
      </c>
    </row>
    <row r="11">
      <c r="A11" s="3" t="inlineStr">
        <is>
          <t>PRÉNOM CONJOINT</t>
        </is>
      </c>
      <c r="B11" s="4" t="n"/>
    </row>
    <row r="12">
      <c r="A12" s="3" t="inlineStr">
        <is>
          <t>NOM CONJOINT</t>
        </is>
      </c>
      <c r="B12" s="4" t="n"/>
    </row>
    <row r="13">
      <c r="A13" s="3" t="inlineStr">
        <is>
          <t>ÂGE CONJOINT</t>
        </is>
      </c>
      <c r="B13" s="4" t="n"/>
    </row>
    <row r="14">
      <c r="A14" s="3" t="inlineStr">
        <is>
          <t>STATUT MARITAL</t>
        </is>
      </c>
      <c r="B14" s="4" t="n"/>
    </row>
    <row r="16">
      <c r="A16" s="2" t="inlineStr">
        <is>
          <t>ENFANTS À CHARGE</t>
        </is>
      </c>
    </row>
    <row r="17">
      <c r="A17" s="3" t="inlineStr">
        <is>
          <t>NOMBRE D'ENFANTS</t>
        </is>
      </c>
      <c r="B17" s="4" t="n"/>
    </row>
    <row r="19">
      <c r="A19" s="5" t="inlineStr">
        <is>
          <t>NOM ENFANT</t>
        </is>
      </c>
      <c r="B19" s="5" t="inlineStr">
        <is>
          <t>ÂGE</t>
        </is>
      </c>
      <c r="C19" s="5" t="inlineStr">
        <is>
          <t>SITUATION</t>
        </is>
      </c>
      <c r="D19" s="5" t="inlineStr">
        <is>
          <t>ALLOCATIONS ?</t>
        </is>
      </c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4">
      <c r="A24" s="2" t="inlineStr">
        <is>
          <t>OBJECTIFS PATRIMONIAUX</t>
        </is>
      </c>
    </row>
    <row r="25">
      <c r="A25" s="6" t="inlineStr">
        <is>
          <t>Réduire les impôts</t>
        </is>
      </c>
      <c r="B25" s="7" t="inlineStr">
        <is>
          <t>☐</t>
        </is>
      </c>
    </row>
    <row r="26">
      <c r="A26" s="6" t="inlineStr">
        <is>
          <t>Préparer la retraite</t>
        </is>
      </c>
      <c r="B26" s="7" t="inlineStr">
        <is>
          <t>☐</t>
        </is>
      </c>
    </row>
    <row r="27">
      <c r="A27" s="6" t="inlineStr">
        <is>
          <t>Transmettre aux enfants</t>
        </is>
      </c>
      <c r="B27" s="7" t="inlineStr">
        <is>
          <t>☐</t>
        </is>
      </c>
    </row>
    <row r="28">
      <c r="A28" s="6" t="inlineStr">
        <is>
          <t>Couvrir frais scolarité</t>
        </is>
      </c>
      <c r="B28" s="7" t="inlineStr">
        <is>
          <t>☐</t>
        </is>
      </c>
    </row>
  </sheetData>
  <mergeCells count="5">
    <mergeCell ref="A1:D1"/>
    <mergeCell ref="A24:D24"/>
    <mergeCell ref="A2:D2"/>
    <mergeCell ref="A16:D16"/>
    <mergeCell ref="A10:D10"/>
  </mergeCells>
  <dataValidations count="1">
    <dataValidation sqref="B14" showDropDown="0" showInputMessage="0" showErrorMessage="0" allowBlank="0" error="Sélectionnez un statut valide" type="list">
      <formula1>"Célibataire,Marié,Pacsé,Divorcé,Veuf"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  <col width="20" customWidth="1" min="4" max="4"/>
  </cols>
  <sheetData>
    <row r="1" ht="25" customHeight="1">
      <c r="A1" s="1" t="inlineStr">
        <is>
          <t>SITUATION FISCALE 2025</t>
        </is>
      </c>
    </row>
    <row r="3">
      <c r="A3" s="2" t="inlineStr">
        <is>
          <t>REVENUS BRUTS</t>
        </is>
      </c>
    </row>
    <row r="4">
      <c r="A4" s="3" t="inlineStr">
        <is>
          <t>Revenu brut global principal (€)</t>
        </is>
      </c>
      <c r="B4" s="8" t="n"/>
    </row>
    <row r="5">
      <c r="A5" s="3" t="inlineStr">
        <is>
          <t>Revenu brut global conjoint (€)</t>
        </is>
      </c>
      <c r="B5" s="8" t="n"/>
    </row>
    <row r="6">
      <c r="A6" s="3" t="inlineStr">
        <is>
          <t>TOTAL revenu brut global (€)</t>
        </is>
      </c>
      <c r="B6" s="9">
        <f>B4+B5</f>
        <v/>
      </c>
    </row>
    <row r="9">
      <c r="A9" s="2" t="inlineStr">
        <is>
          <t>RÉFÉRENCES FISCALES</t>
        </is>
      </c>
    </row>
    <row r="10">
      <c r="A10" s="3" t="inlineStr">
        <is>
          <t>Revenu fiscal de référence (€)</t>
        </is>
      </c>
      <c r="B10" s="8" t="n"/>
    </row>
    <row r="11">
      <c r="A11" s="3" t="inlineStr">
        <is>
          <t>Parts fiscales</t>
        </is>
      </c>
      <c r="B11" s="4" t="n"/>
    </row>
    <row r="13">
      <c r="A13" s="2" t="inlineStr">
        <is>
          <t>TAUX MARGINAL D'IMPOSITION (TMI)</t>
        </is>
      </c>
    </row>
    <row r="14">
      <c r="A14" s="3" t="inlineStr">
        <is>
          <t>TMI calculée (%)</t>
        </is>
      </c>
      <c r="B14" s="10">
        <f>IF(B10&lt;10225,0,IF(B10&lt;26070,0.11,IF(B10&lt;74545,0.30,IF(B10&lt;160336,0.41,0.45))))</f>
        <v/>
      </c>
    </row>
    <row r="17">
      <c r="A17" s="2" t="inlineStr">
        <is>
          <t>PLAFOND PER DISPONIBLE</t>
        </is>
      </c>
    </row>
    <row r="18">
      <c r="A18" s="3" t="inlineStr">
        <is>
          <t>Plafond année N (RBG × 10%) (€)</t>
        </is>
      </c>
      <c r="B18" s="11">
        <f>MIN(B6*0.1,35194)</f>
        <v/>
      </c>
    </row>
    <row r="19">
      <c r="A19" s="3" t="inlineStr">
        <is>
          <t>Plafond antérieur non utilisé (€)</t>
        </is>
      </c>
      <c r="B19" s="8" t="n"/>
    </row>
    <row r="20">
      <c r="A20" s="12" t="inlineStr">
        <is>
          <t>TOTAL plafond disponible (€)</t>
        </is>
      </c>
      <c r="B20" s="13">
        <f>MIN(B18+B19,35194)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  <col width="20" customWidth="1" min="4" max="4"/>
  </cols>
  <sheetData>
    <row r="1" ht="25" customHeight="1">
      <c r="A1" s="1" t="inlineStr">
        <is>
          <t>PATRIMOINE ACTUEL</t>
        </is>
      </c>
    </row>
    <row r="3">
      <c r="A3" s="2" t="inlineStr">
        <is>
          <t>IMMOBILIER</t>
        </is>
      </c>
    </row>
    <row r="4">
      <c r="A4" s="3" t="inlineStr">
        <is>
          <t>Résidence principale (€)</t>
        </is>
      </c>
      <c r="B4" s="8" t="n"/>
    </row>
    <row r="5">
      <c r="A5" s="3" t="inlineStr">
        <is>
          <t>Autres biens immobiliers (€)</t>
        </is>
      </c>
      <c r="B5" s="8" t="n"/>
    </row>
    <row r="6">
      <c r="A6" s="14" t="inlineStr">
        <is>
          <t>TOTAL immobilier (€)</t>
        </is>
      </c>
      <c r="B6" s="11">
        <f>B4+B5</f>
        <v/>
      </c>
    </row>
    <row r="8">
      <c r="A8" s="2" t="inlineStr">
        <is>
          <t>LIQUIDITÉS</t>
        </is>
      </c>
    </row>
    <row r="9">
      <c r="A9" s="3" t="inlineStr">
        <is>
          <t>Livrets / Comptes courants (€)</t>
        </is>
      </c>
      <c r="B9" s="8" t="n"/>
    </row>
    <row r="10">
      <c r="A10" s="3" t="inlineStr">
        <is>
          <t>LDDS / PEL (€)</t>
        </is>
      </c>
      <c r="B10" s="8" t="n"/>
    </row>
    <row r="11">
      <c r="A11" s="14" t="inlineStr">
        <is>
          <t>TOTAL liquidités (€)</t>
        </is>
      </c>
      <c r="B11" s="11">
        <f>B9+B10</f>
        <v/>
      </c>
    </row>
    <row r="13">
      <c r="A13" s="2" t="inlineStr">
        <is>
          <t>ASSURANCE-VIE — CONTRATS EXISTANTS</t>
        </is>
      </c>
    </row>
    <row r="14">
      <c r="A14" s="5" t="inlineStr">
        <is>
          <t>NOM CONTRAT</t>
        </is>
      </c>
      <c r="B14" s="5" t="inlineStr">
        <is>
          <t>VALEUR ACTUELLE (€)</t>
        </is>
      </c>
      <c r="C14" s="5" t="inlineStr">
        <is>
          <t>BÉNÉFICIAIRES</t>
        </is>
      </c>
      <c r="D14" s="5" t="inlineStr">
        <is>
          <t>DATE D'EFFET</t>
        </is>
      </c>
    </row>
    <row r="15">
      <c r="A15" s="4" t="n"/>
      <c r="B15" s="8" t="n"/>
      <c r="C15" s="4" t="n"/>
      <c r="D15" s="4" t="n"/>
    </row>
    <row r="16">
      <c r="A16" s="4" t="n"/>
      <c r="B16" s="8" t="n"/>
      <c r="C16" s="4" t="n"/>
      <c r="D16" s="4" t="n"/>
    </row>
    <row r="17">
      <c r="A17" s="4" t="n"/>
      <c r="B17" s="8" t="n"/>
      <c r="C17" s="4" t="n"/>
      <c r="D17" s="4" t="n"/>
    </row>
    <row r="18">
      <c r="A18" s="14" t="inlineStr">
        <is>
          <t>TOTAL assurance-vie (€)</t>
        </is>
      </c>
      <c r="B18" s="11">
        <f>SUM(B15:B17)</f>
        <v/>
      </c>
    </row>
    <row r="20">
      <c r="A20" s="2" t="inlineStr">
        <is>
          <t>AUTRES ACTIFS</t>
        </is>
      </c>
    </row>
    <row r="21">
      <c r="A21" s="3" t="inlineStr">
        <is>
          <t>Actions / Bourse (€)</t>
        </is>
      </c>
      <c r="B21" s="8" t="n"/>
    </row>
    <row r="22">
      <c r="A22" s="3" t="inlineStr">
        <is>
          <t>Autres (€)</t>
        </is>
      </c>
      <c r="B22" s="8" t="n"/>
    </row>
    <row r="24">
      <c r="A24" s="15" t="inlineStr">
        <is>
          <t>PATRIMOINE TOTAL (€)</t>
        </is>
      </c>
      <c r="B24" s="16">
        <f>B6+B11+B18+B21+B22</f>
        <v/>
      </c>
    </row>
  </sheetData>
  <mergeCells count="2">
    <mergeCell ref="A1:D1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25" customHeight="1">
      <c r="A1" s="1" t="inlineStr">
        <is>
          <t>PLANIFICATION RETRAITE</t>
        </is>
      </c>
    </row>
    <row r="3">
      <c r="A3" s="2" t="inlineStr">
        <is>
          <t>HORIZONS DE RETRAITE</t>
        </is>
      </c>
    </row>
    <row r="4">
      <c r="A4" s="3" t="inlineStr">
        <is>
          <t>Âge actuel (ans)</t>
        </is>
      </c>
      <c r="B4" s="4" t="n"/>
    </row>
    <row r="5">
      <c r="A5" s="3" t="inlineStr">
        <is>
          <t>Âge retraite visé (ans)</t>
        </is>
      </c>
      <c r="B5" s="4" t="n"/>
    </row>
    <row r="6">
      <c r="A6" s="14" t="inlineStr">
        <is>
          <t>Ans avant retraite</t>
        </is>
      </c>
      <c r="B6" s="17">
        <f>B5-B4</f>
        <v/>
      </c>
    </row>
    <row r="8">
      <c r="A8" s="2" t="inlineStr">
        <is>
          <t>REVENUS ACTUELS vs RETRAITE</t>
        </is>
      </c>
    </row>
    <row r="9">
      <c r="A9" s="3" t="inlineStr">
        <is>
          <t>Revenu net mensuel actuel (€)</t>
        </is>
      </c>
      <c r="B9" s="8" t="n"/>
    </row>
    <row r="10">
      <c r="A10" s="3" t="inlineStr">
        <is>
          <t>Revenu mensuel souhaité retraite (€)</t>
        </is>
      </c>
      <c r="B10" s="8" t="n"/>
    </row>
    <row r="12">
      <c r="A12" s="2" t="inlineStr">
        <is>
          <t>PROJECTION ÉPARGNE RETRAITE</t>
        </is>
      </c>
    </row>
    <row r="13">
      <c r="A13" s="3" t="inlineStr">
        <is>
          <t>Épargne retraite actuelle (€)</t>
        </is>
      </c>
      <c r="B13" s="8" t="n"/>
    </row>
    <row r="14">
      <c r="A14" s="3" t="inlineStr">
        <is>
          <t>Rendement annuel attendu (%)</t>
        </is>
      </c>
      <c r="B14" s="18" t="n">
        <v>3.5</v>
      </c>
    </row>
    <row r="15">
      <c r="A15" s="14" t="inlineStr">
        <is>
          <t>Capital retraite projeté (€)</t>
        </is>
      </c>
      <c r="B15" s="11">
        <f>B13*POWER(1+B14/100,B6)</f>
        <v/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25" customHeight="1">
      <c r="A1" s="1" t="inlineStr">
        <is>
          <t>SCÉNARIO 1 — SITUATION ACTUELLE</t>
        </is>
      </c>
    </row>
    <row r="3">
      <c r="A3" s="2" t="inlineStr">
        <is>
          <t>SIMULATION PER</t>
        </is>
      </c>
    </row>
    <row r="4">
      <c r="A4" s="3" t="inlineStr">
        <is>
          <t>Versement PER envisagé (€)</t>
        </is>
      </c>
      <c r="B4" s="8" t="n">
        <v>0</v>
      </c>
    </row>
    <row r="5">
      <c r="A5" s="3" t="inlineStr">
        <is>
          <t>Revenu fiscal de référence (€)</t>
        </is>
      </c>
      <c r="B5" s="11">
        <f>FISCALITÉ!B10</f>
        <v/>
      </c>
    </row>
    <row r="6">
      <c r="A6" s="3" t="inlineStr">
        <is>
          <t>TMI (%)</t>
        </is>
      </c>
      <c r="B6" s="10">
        <f>FISCALITÉ!B14</f>
        <v/>
      </c>
    </row>
    <row r="7">
      <c r="A7" s="14" t="inlineStr">
        <is>
          <t>Économie fiscale IR (€)</t>
        </is>
      </c>
      <c r="B7" s="19">
        <f>B4*B6/100</f>
        <v/>
      </c>
    </row>
    <row r="8">
      <c r="A8" s="14" t="inlineStr">
        <is>
          <t>Coût réel du versement (€)</t>
        </is>
      </c>
      <c r="B8" s="20">
        <f>B4-B7</f>
        <v/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25" customHeight="1">
      <c r="A1" s="1" t="inlineStr">
        <is>
          <t>SCÉNARIO 2 — PER OPTIMAL</t>
        </is>
      </c>
    </row>
    <row r="3">
      <c r="A3" s="2" t="inlineStr">
        <is>
          <t>SIMULATION PER</t>
        </is>
      </c>
    </row>
    <row r="4">
      <c r="A4" s="3" t="inlineStr">
        <is>
          <t>Versement PER envisagé (€)</t>
        </is>
      </c>
      <c r="B4" s="21">
        <f>FISCALITÉ!B20</f>
        <v/>
      </c>
    </row>
    <row r="5">
      <c r="A5" s="3" t="inlineStr">
        <is>
          <t>Revenu fiscal de référence (€)</t>
        </is>
      </c>
      <c r="B5" s="11">
        <f>FISCALITÉ!B10</f>
        <v/>
      </c>
    </row>
    <row r="6">
      <c r="A6" s="3" t="inlineStr">
        <is>
          <t>TMI (%)</t>
        </is>
      </c>
      <c r="B6" s="10">
        <f>FISCALITÉ!B14</f>
        <v/>
      </c>
    </row>
    <row r="7">
      <c r="A7" s="14" t="inlineStr">
        <is>
          <t>Économie fiscale IR (€)</t>
        </is>
      </c>
      <c r="B7" s="19">
        <f>B4*B6/100</f>
        <v/>
      </c>
    </row>
    <row r="8">
      <c r="A8" s="14" t="inlineStr">
        <is>
          <t>Coût réel du versement (€)</t>
        </is>
      </c>
      <c r="B8" s="20">
        <f>B4-B7</f>
        <v/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25" customHeight="1">
      <c r="A1" s="1" t="inlineStr">
        <is>
          <t>SCÉNARIO 3 — PER + AV OPTIMISÉE</t>
        </is>
      </c>
    </row>
    <row r="3">
      <c r="A3" s="2" t="inlineStr">
        <is>
          <t>SIMULATION PER</t>
        </is>
      </c>
    </row>
    <row r="4">
      <c r="A4" s="3" t="inlineStr">
        <is>
          <t>Versement PER envisagé (€)</t>
        </is>
      </c>
      <c r="B4" s="21">
        <f>FISCALITÉ!B20</f>
        <v/>
      </c>
    </row>
    <row r="5">
      <c r="A5" s="3" t="inlineStr">
        <is>
          <t>Revenu fiscal de référence (€)</t>
        </is>
      </c>
      <c r="B5" s="11">
        <f>FISCALITÉ!B10</f>
        <v/>
      </c>
    </row>
    <row r="6">
      <c r="A6" s="3" t="inlineStr">
        <is>
          <t>TMI (%)</t>
        </is>
      </c>
      <c r="B6" s="10">
        <f>FISCALITÉ!B14</f>
        <v/>
      </c>
    </row>
    <row r="7">
      <c r="A7" s="14" t="inlineStr">
        <is>
          <t>Économie fiscale IR (€)</t>
        </is>
      </c>
      <c r="B7" s="19">
        <f>B4*B6/100</f>
        <v/>
      </c>
    </row>
    <row r="8">
      <c r="A8" s="14" t="inlineStr">
        <is>
          <t>Coût réel du versement (€)</t>
        </is>
      </c>
      <c r="B8" s="20">
        <f>B4-B7</f>
        <v/>
      </c>
    </row>
    <row r="10">
      <c r="A10" s="2" t="inlineStr">
        <is>
          <t>OPTIMISATION ASSURANCE-VIE</t>
        </is>
      </c>
    </row>
    <row r="11">
      <c r="A11" s="3" t="inlineStr">
        <is>
          <t>Restructuration recommandée ?</t>
        </is>
      </c>
      <c r="B11" s="4" t="inlineStr">
        <is>
          <t>Voir analyse patrimoniale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 ht="25" customHeight="1">
      <c r="A1" s="1" t="inlineStr">
        <is>
          <t>SYNTHÈSE COMPARATIVE DES SCÉNARIOS</t>
        </is>
      </c>
    </row>
    <row r="3">
      <c r="A3" s="5" t="inlineStr"/>
      <c r="B3" s="5" t="inlineStr">
        <is>
          <t>SCÉNARIO 1</t>
        </is>
      </c>
      <c r="C3" s="5" t="inlineStr">
        <is>
          <t>SCÉNARIO 2</t>
        </is>
      </c>
      <c r="D3" s="5" t="inlineStr">
        <is>
          <t>SCÉNARIO 3</t>
        </is>
      </c>
    </row>
    <row r="4">
      <c r="A4" s="3" t="inlineStr">
        <is>
          <t>Versement PER (€)</t>
        </is>
      </c>
      <c r="B4" s="22">
        <f>'SCENARIO 1'!B3</f>
        <v/>
      </c>
      <c r="C4" s="22">
        <f>'SCENARIO 2'!B3</f>
        <v/>
      </c>
      <c r="D4" s="22">
        <f>'SCENARIO 3'!B3</f>
        <v/>
      </c>
    </row>
    <row r="5">
      <c r="A5" s="3" t="inlineStr">
        <is>
          <t>Économie fiscale annuelle (€)</t>
        </is>
      </c>
      <c r="B5" s="22">
        <f>'SCENARIO 1'!B4</f>
        <v/>
      </c>
      <c r="C5" s="22">
        <f>'SCENARIO 2'!B4</f>
        <v/>
      </c>
      <c r="D5" s="22">
        <f>'SCENARIO 3'!B4</f>
        <v/>
      </c>
    </row>
    <row r="6">
      <c r="A6" s="3" t="inlineStr">
        <is>
          <t>Coût réel (€)</t>
        </is>
      </c>
      <c r="B6" s="22">
        <f>'SCENARIO 1'!B5</f>
        <v/>
      </c>
      <c r="C6" s="22">
        <f>'SCENARIO 2'!B5</f>
        <v/>
      </c>
      <c r="D6" s="22">
        <f>'SCENARIO 3'!B5</f>
        <v/>
      </c>
    </row>
    <row r="7">
      <c r="A7" s="3" t="inlineStr">
        <is>
          <t>Capital retraite projeté (€)</t>
        </is>
      </c>
      <c r="B7" s="22">
        <f>'SCENARIO 1'!B6</f>
        <v/>
      </c>
      <c r="C7" s="22">
        <f>'SCENARIO 2'!B6</f>
        <v/>
      </c>
      <c r="D7" s="22">
        <f>'SCENARIO 3'!B6</f>
        <v/>
      </c>
    </row>
    <row r="10">
      <c r="A10" s="2" t="inlineStr">
        <is>
          <t>RECOMMANDATION</t>
        </is>
      </c>
    </row>
    <row r="12">
      <c r="A12" s="23" t="inlineStr">
        <is>
          <t>✅ Scénario recommandé :</t>
        </is>
      </c>
    </row>
    <row r="13">
      <c r="A13" s="24" t="inlineStr">
        <is>
          <t>Scénario 2 (PER optimal) — Meilleur rapport économie/effort</t>
        </is>
      </c>
    </row>
  </sheetData>
  <mergeCells count="3">
    <mergeCell ref="A1:D1"/>
    <mergeCell ref="A13:D13"/>
    <mergeCell ref="A10:D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 ht="25" customHeight="1">
      <c r="A1" s="25" t="inlineStr">
        <is>
          <t>🔄 EXPORT DONNÉES POUR HERITUM API</t>
        </is>
      </c>
    </row>
    <row r="3">
      <c r="A3" s="26" t="inlineStr">
        <is>
          <t>Comment exporter vos données ?</t>
        </is>
      </c>
    </row>
    <row r="4">
      <c r="A4" s="27" t="inlineStr">
        <is>
          <t>1. Remplissez complètement tous les onglets ci-dessus</t>
        </is>
      </c>
    </row>
    <row r="5">
      <c r="A5" s="27" t="inlineStr">
        <is>
          <t>2. Appuyez sur le bouton 'GÉNÉRER JSON' (sera disponible en version macro)</t>
        </is>
      </c>
    </row>
    <row r="6">
      <c r="A6" s="27" t="inlineStr">
        <is>
          <t>3. Copez le JSON généré ci-dessous</t>
        </is>
      </c>
    </row>
    <row r="7">
      <c r="A7" s="27" t="inlineStr">
        <is>
          <t>4. Collez-le dans Heritum.fr pour lancer les simulations</t>
        </is>
      </c>
    </row>
    <row r="8">
      <c r="A8" s="27" t="inlineStr"/>
    </row>
    <row r="9">
      <c r="A9" s="27" t="inlineStr">
        <is>
          <t>✅ Les données sensibles restent locales — seules les données anonymisées seront envoyées</t>
        </is>
      </c>
    </row>
    <row r="11">
      <c r="A11" s="28" t="inlineStr">
        <is>
          <t>APERÇU JSON (À GÉNÉRER)</t>
        </is>
      </c>
    </row>
    <row r="12" ht="100" customHeight="1">
      <c r="A12" s="29" t="inlineStr">
        <is>
          <t>{"client": {"prenom": "[voir CLIENT!B4]", "nom": "[voir CLIENT!B5]", "age": "[voir CLIENT!B6]"}, "fiscalite": {"revenu_brut_global": "[voir FISCALITÉ!B6]", "revenu_fiscal_reference": "[voir FISCALITÉ!B10]", "tmi": "[voir FISCALITÉ!B14]", "plafond_per_disponible": "[voir FISCALITÉ!B20]"}, "patrimoine": {"total": "[voir PATRIMOINE!B24]"}, "scenarios": [{"nom": "Situation actuelle", "versement_per": 0}, {"nom": "PER optimal", "versement_per": "[voir SCENARIO 2!B4]"}, {"nom": "PER + AV optimisée", "versement_per": "[voir SCENARIO 3!B4]"}]}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2026-05-28T19:57:13Z</dcterms:created>
  <dcterms:modified xmlns:dcterms="http://purl.org/dc/terms/" xmlns:xsi="http://www.w3.org/2001/XMLSchema-instance" xsi:type="dcterms:W3CDTF">2026-05-28T19:57:13Z</dcterms:modified>
</cp:coreProperties>
</file>