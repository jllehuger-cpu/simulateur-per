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HUGER\Documents\simulateur-patrimoine\"/>
    </mc:Choice>
  </mc:AlternateContent>
  <xr:revisionPtr revIDLastSave="0" documentId="13_ncr:1_{E64E46D2-5CAB-4332-9655-7ED433719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" sheetId="1" r:id="rId1"/>
    <sheet name="FISCALITÉ" sheetId="2" r:id="rId2"/>
    <sheet name="PATRIMOINE" sheetId="3" r:id="rId3"/>
    <sheet name="RETRAITE" sheetId="4" r:id="rId4"/>
    <sheet name="SCENARIO 1" sheetId="5" r:id="rId5"/>
    <sheet name="SCENARIO 2" sheetId="6" r:id="rId6"/>
    <sheet name="SCENARIO 3" sheetId="7" r:id="rId7"/>
    <sheet name="SYNTHÈSE" sheetId="8" r:id="rId8"/>
    <sheet name="EXPORT JS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D4" i="8"/>
  <c r="C4" i="8"/>
  <c r="B4" i="8"/>
  <c r="B5" i="7"/>
  <c r="D6" i="8" s="1"/>
  <c r="B5" i="6"/>
  <c r="C6" i="8" s="1"/>
  <c r="B5" i="5"/>
  <c r="B6" i="8" s="1"/>
  <c r="B15" i="4"/>
  <c r="B6" i="4"/>
  <c r="B18" i="3"/>
  <c r="B11" i="3"/>
  <c r="B6" i="3"/>
  <c r="B24" i="3" s="1"/>
  <c r="B14" i="2"/>
  <c r="B6" i="2"/>
  <c r="B18" i="2" s="1"/>
  <c r="B20" i="2" s="1"/>
  <c r="B6" i="7" l="1"/>
  <c r="D7" i="8" s="1"/>
  <c r="B6" i="6"/>
  <c r="C7" i="8" s="1"/>
  <c r="B6" i="5"/>
  <c r="B4" i="6"/>
  <c r="B4" i="7"/>
  <c r="B7" i="5" l="1"/>
  <c r="B8" i="5" s="1"/>
  <c r="B7" i="8"/>
  <c r="B8" i="6"/>
  <c r="C5" i="8"/>
  <c r="B7" i="6"/>
  <c r="B7" i="7"/>
  <c r="D5" i="8"/>
  <c r="B8" i="7"/>
</calcChain>
</file>

<file path=xl/sharedStrings.xml><?xml version="1.0" encoding="utf-8"?>
<sst xmlns="http://schemas.openxmlformats.org/spreadsheetml/2006/main" count="128" uniqueCount="110">
  <si>
    <t>Informations personnelles et situation familiale</t>
  </si>
  <si>
    <t>PRÉNOM PRINCIPAL</t>
  </si>
  <si>
    <t>NOM PRINCIPAL</t>
  </si>
  <si>
    <t>ÂGE PRINCIPAL</t>
  </si>
  <si>
    <t>EMAIL</t>
  </si>
  <si>
    <t>RÉFÉRENCE DOSSIER</t>
  </si>
  <si>
    <t>SITUATION DU CONJOINT</t>
  </si>
  <si>
    <t>PRÉNOM CONJOINT</t>
  </si>
  <si>
    <t>NOM CONJOINT</t>
  </si>
  <si>
    <t>ÂGE CONJOINT</t>
  </si>
  <si>
    <t>STATUT MARITAL</t>
  </si>
  <si>
    <t>ENFANTS À CHARGE</t>
  </si>
  <si>
    <t>NOMBRE D'ENFANTS</t>
  </si>
  <si>
    <t>NOM ENFANT</t>
  </si>
  <si>
    <t>ÂGE</t>
  </si>
  <si>
    <t>SITUATION</t>
  </si>
  <si>
    <t>ALLOCATIONS ?</t>
  </si>
  <si>
    <t>OBJECTIFS PATRIMONIAUX</t>
  </si>
  <si>
    <t>Réduire les impôts</t>
  </si>
  <si>
    <t>☐</t>
  </si>
  <si>
    <t>Préparer la retraite</t>
  </si>
  <si>
    <t>Transmettre aux enfants</t>
  </si>
  <si>
    <t>Couvrir frais scolarité</t>
  </si>
  <si>
    <t>SITUATION FISCALE 2025</t>
  </si>
  <si>
    <t>REVENUS BRUTS</t>
  </si>
  <si>
    <t>Revenu brut global principal (€)</t>
  </si>
  <si>
    <t>Revenu brut global conjoint (€)</t>
  </si>
  <si>
    <t>TOTAL revenu brut global (€)</t>
  </si>
  <si>
    <t>RÉFÉRENCES FISCALES</t>
  </si>
  <si>
    <t>Revenu fiscal de référence (€)</t>
  </si>
  <si>
    <t>Parts fiscales</t>
  </si>
  <si>
    <t>TAUX MARGINAL D'IMPOSITION (TMI)</t>
  </si>
  <si>
    <t>TMI calculée (%)</t>
  </si>
  <si>
    <t>PLAFOND PER DISPONIBLE</t>
  </si>
  <si>
    <t>Plafond année N (RBG × 10%) (€)</t>
  </si>
  <si>
    <t>Plafond antérieur non utilisé (€)</t>
  </si>
  <si>
    <t>TOTAL plafond disponible (€)</t>
  </si>
  <si>
    <t>PATRIMOINE ACTUEL</t>
  </si>
  <si>
    <t>IMMOBILIER</t>
  </si>
  <si>
    <t>Résidence principale (€)</t>
  </si>
  <si>
    <t>Autres biens immobiliers (€)</t>
  </si>
  <si>
    <t>TOTAL immobilier (€)</t>
  </si>
  <si>
    <t>LIQUIDITÉS</t>
  </si>
  <si>
    <t>Livrets / Comptes courants (€)</t>
  </si>
  <si>
    <t>LDDS / PEL (€)</t>
  </si>
  <si>
    <t>TOTAL liquidités (€)</t>
  </si>
  <si>
    <t>ASSURANCE-VIE — CONTRATS EXISTANTS</t>
  </si>
  <si>
    <t>NOM CONTRAT</t>
  </si>
  <si>
    <t>VALEUR ACTUELLE (€)</t>
  </si>
  <si>
    <t>BÉNÉFICIAIRES</t>
  </si>
  <si>
    <t>DATE D'EFFET</t>
  </si>
  <si>
    <t>TOTAL assurance-vie (€)</t>
  </si>
  <si>
    <t>AUTRES ACTIFS</t>
  </si>
  <si>
    <t>Actions / Bourse (€)</t>
  </si>
  <si>
    <t>Autres (€)</t>
  </si>
  <si>
    <t>PATRIMOINE TOTAL (€)</t>
  </si>
  <si>
    <t>PLANIFICATION RETRAITE</t>
  </si>
  <si>
    <t>HORIZONS DE RETRAITE</t>
  </si>
  <si>
    <t>Âge actuel (ans)</t>
  </si>
  <si>
    <t>Âge retraite visé (ans)</t>
  </si>
  <si>
    <t>Ans avant retraite</t>
  </si>
  <si>
    <t>REVENUS ACTUELS vs RETRAITE</t>
  </si>
  <si>
    <t>Revenu net mensuel actuel (€)</t>
  </si>
  <si>
    <t>Revenu mensuel souhaité retraite (€)</t>
  </si>
  <si>
    <t>PROJECTION ÉPARGNE RETRAITE</t>
  </si>
  <si>
    <t>Épargne retraite actuelle (€)</t>
  </si>
  <si>
    <t>Rendement annuel attendu (%)</t>
  </si>
  <si>
    <t>Capital retraite projeté (€)</t>
  </si>
  <si>
    <t>SCÉNARIO 1 — SITUATION ACTUELLE</t>
  </si>
  <si>
    <t>SIMULATION PER</t>
  </si>
  <si>
    <t>Versement PER envisagé (€)</t>
  </si>
  <si>
    <t>TMI (%)</t>
  </si>
  <si>
    <t>Économie fiscale IR (€)</t>
  </si>
  <si>
    <t>Coût réel du versement (€)</t>
  </si>
  <si>
    <t>SCÉNARIO 2 — PER OPTIMAL</t>
  </si>
  <si>
    <t>SCÉNARIO 3 — PER + AV OPTIMISÉE</t>
  </si>
  <si>
    <t>OPTIMISATION ASSURANCE-VIE</t>
  </si>
  <si>
    <t>Restructuration recommandée ?</t>
  </si>
  <si>
    <t>Voir analyse patrimoniale</t>
  </si>
  <si>
    <t>SYNTHÈSE COMPARATIVE DES SCÉNARIOS</t>
  </si>
  <si>
    <t>SCÉNARIO 1</t>
  </si>
  <si>
    <t>SCÉNARIO 2</t>
  </si>
  <si>
    <t>SCÉNARIO 3</t>
  </si>
  <si>
    <t>Versement PER (€)</t>
  </si>
  <si>
    <t>Économie fiscale annuelle (€)</t>
  </si>
  <si>
    <t>Coût réel (€)</t>
  </si>
  <si>
    <t>RECOMMANDATION</t>
  </si>
  <si>
    <t>✅ Scénario recommandé :</t>
  </si>
  <si>
    <t>Scénario 2 (PER optimal) — Meilleur rapport économie/effort</t>
  </si>
  <si>
    <t>🔄 EXPORT DONNÉES POUR HERITUM API</t>
  </si>
  <si>
    <t>Comment exporter vos données ?</t>
  </si>
  <si>
    <t>1. Remplissez complètement tous les onglets ci-dessus</t>
  </si>
  <si>
    <t>2. Appuyez sur le bouton 'GÉNÉRER JSON' (sera disponible en version macro)</t>
  </si>
  <si>
    <t>3. Copez le JSON généré ci-dessous</t>
  </si>
  <si>
    <t>✅ Les données sensibles restent locales — seules les données anonymisées seront envoyées</t>
  </si>
  <si>
    <t>APERÇU JSON (À GÉNÉRER)</t>
  </si>
  <si>
    <t>{"client": {"prenom": "[voir CLIENT!B4]", "nom": "[voir CLIENT!B5]", "age": "[voir CLIENT!B6]"}, "fiscalite": {"revenu_brut_global": "[voir FISCALITÉ!B6]", "revenu_fiscal_reference": "[voir FISCALITÉ!B10]", "tmi": "[voir FISCALITÉ!B14]", "plafond_per_disponible": "[voir FISCALITÉ!B20]"}, "patrimoine": {"total": "[voir PATRIMOINE!B24]"}, "scenarios": [{"nom": "Situation actuelle", "versement_per": 0}, {"nom": "PER optimal", "versement_per": "[voir SCENARIO 2!B4]"}, {"nom": "PER + AV optimisée", "versement_per": "[voir SCENARIO 3!B4]"}]}</t>
  </si>
  <si>
    <t>Mon audit Patrimoine — FICHE CLIENT</t>
  </si>
  <si>
    <t>4. Collez-le dans per.mon-audit-patrmoine.fr pour lancer les simulations</t>
  </si>
  <si>
    <t>Michel</t>
  </si>
  <si>
    <t>Michu</t>
  </si>
  <si>
    <t>mich_mich</t>
  </si>
  <si>
    <t>Marié</t>
  </si>
  <si>
    <t>antoine</t>
  </si>
  <si>
    <t>etudiant</t>
  </si>
  <si>
    <t>oui</t>
  </si>
  <si>
    <t>rose</t>
  </si>
  <si>
    <t>lycéenne</t>
  </si>
  <si>
    <t>non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</si>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</sst>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A1A2E"/>
      <name val="Calibri"/>
    </font>
    <font>
      <sz val="10"/>
      <name val="Calibri"/>
    </font>
    <font>
      <i/>
      <sz val="10"/>
      <color rgb="FF707070"/>
      <name val="Calibri"/>
    </font>
    <font>
      <b/>
      <sz val="10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b/>
      <sz val="11"/>
      <color rgb="FF2E7D32"/>
      <name val="Calibri"/>
    </font>
    <font>
      <i/>
      <sz val="10"/>
      <name val="Calibri"/>
    </font>
    <font>
      <b/>
      <sz val="11"/>
      <color rgb="FF1A1A2E"/>
      <name val="Calibri"/>
    </font>
    <font>
      <sz val="9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C9A84C"/>
        <bgColor rgb="FFC9A84C"/>
      </patternFill>
    </fill>
    <fill>
      <patternFill patternType="solid">
        <fgColor rgb="FFF5F1E8"/>
        <bgColor rgb="FFF5F1E8"/>
      </patternFill>
    </fill>
    <fill>
      <patternFill patternType="solid">
        <fgColor rgb="FFFFFFFF"/>
        <bgColor rgb="FFFFFFFF"/>
      </patternFill>
    </fill>
    <fill>
      <patternFill patternType="solid">
        <fgColor rgb="FFE8F4F8"/>
        <bgColor rgb="FFE8F4F8"/>
      </patternFill>
    </fill>
    <fill>
      <patternFill patternType="solid">
        <fgColor rgb="FF2E7D32"/>
        <bgColor rgb="FF2E7D32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5" borderId="1" xfId="0" applyFill="1" applyBorder="1"/>
    <xf numFmtId="0" fontId="2" fillId="3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3" fontId="0" fillId="5" borderId="1" xfId="0" applyNumberFormat="1" applyFill="1" applyBorder="1"/>
    <xf numFmtId="3" fontId="5" fillId="6" borderId="1" xfId="0" applyNumberFormat="1" applyFont="1" applyFill="1" applyBorder="1"/>
    <xf numFmtId="2" fontId="5" fillId="6" borderId="0" xfId="0" applyNumberFormat="1" applyFont="1" applyFill="1"/>
    <xf numFmtId="3" fontId="5" fillId="6" borderId="0" xfId="0" applyNumberFormat="1" applyFont="1" applyFill="1"/>
    <xf numFmtId="0" fontId="6" fillId="7" borderId="0" xfId="0" applyFont="1" applyFill="1"/>
    <xf numFmtId="3" fontId="2" fillId="7" borderId="0" xfId="0" applyNumberFormat="1" applyFont="1" applyFill="1"/>
    <xf numFmtId="0" fontId="7" fillId="0" borderId="0" xfId="0" applyFont="1"/>
    <xf numFmtId="0" fontId="8" fillId="2" borderId="0" xfId="0" applyFont="1" applyFill="1"/>
    <xf numFmtId="3" fontId="8" fillId="2" borderId="0" xfId="0" applyNumberFormat="1" applyFont="1" applyFill="1"/>
    <xf numFmtId="0" fontId="5" fillId="6" borderId="0" xfId="0" applyFont="1" applyFill="1"/>
    <xf numFmtId="2" fontId="0" fillId="5" borderId="1" xfId="0" applyNumberFormat="1" applyFill="1" applyBorder="1"/>
    <xf numFmtId="3" fontId="6" fillId="7" borderId="0" xfId="0" applyNumberFormat="1" applyFont="1" applyFill="1"/>
    <xf numFmtId="3" fontId="7" fillId="8" borderId="0" xfId="0" applyNumberFormat="1" applyFont="1" applyFill="1"/>
    <xf numFmtId="3" fontId="0" fillId="6" borderId="2" xfId="0" applyNumberFormat="1" applyFill="1" applyBorder="1"/>
    <xf numFmtId="3" fontId="5" fillId="6" borderId="0" xfId="0" applyNumberFormat="1" applyFont="1" applyFill="1" applyAlignment="1">
      <alignment horizontal="right"/>
    </xf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wrapText="1"/>
    </xf>
    <xf numFmtId="0" fontId="6" fillId="2" borderId="0" xfId="0" applyFont="1" applyFill="1"/>
    <xf numFmtId="0" fontId="1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/>
    <xf numFmtId="0" fontId="10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25" customWidth="1"/>
    <col min="2" max="2" width="35" customWidth="1"/>
    <col min="3" max="3" width="25" customWidth="1"/>
    <col min="4" max="4" width="35" customWidth="1"/>
  </cols>
  <sheetData>
    <row r="1" spans="1:4" ht="24.95" customHeight="1" x14ac:dyDescent="0.25">
      <c r="A1" s="27" t="s">
        <v>97</v>
      </c>
      <c r="B1" s="28"/>
      <c r="C1" s="28"/>
      <c r="D1" s="28"/>
    </row>
    <row r="2" spans="1:4" ht="20.100000000000001" customHeight="1" x14ac:dyDescent="0.25">
      <c r="A2" s="29" t="s">
        <v>0</v>
      </c>
      <c r="B2" s="28"/>
      <c r="C2" s="28"/>
      <c r="D2" s="28"/>
    </row>
    <row r="4" spans="1:4" ht="20.100000000000001" customHeight="1" x14ac:dyDescent="0.25">
      <c r="A4" s="2" t="s">
        <v>1</v>
      </c>
      <c r="B4" s="3" t="s">
        <v>99</v>
      </c>
    </row>
    <row r="5" spans="1:4" ht="20.100000000000001" customHeight="1" x14ac:dyDescent="0.25">
      <c r="A5" s="2" t="s">
        <v>2</v>
      </c>
      <c r="B5" s="3" t="s">
        <v>100</v>
      </c>
    </row>
    <row r="6" spans="1:4" ht="20.100000000000001" customHeight="1" x14ac:dyDescent="0.25">
      <c r="A6" s="2" t="s">
        <v>3</v>
      </c>
      <c r="B6" s="3">
        <v>48</v>
      </c>
    </row>
    <row r="7" spans="1:4" ht="20.100000000000001" customHeight="1" x14ac:dyDescent="0.25">
      <c r="A7" s="2" t="s">
        <v>4</v>
      </c>
      <c r="B7" s="3"/>
    </row>
    <row r="8" spans="1:4" ht="20.100000000000001" customHeight="1" x14ac:dyDescent="0.25">
      <c r="A8" s="2" t="s">
        <v>5</v>
      </c>
      <c r="B8" s="3" t="s">
        <v>101</v>
      </c>
    </row>
    <row r="10" spans="1:4" x14ac:dyDescent="0.25">
      <c r="A10" s="29" t="s">
        <v>6</v>
      </c>
      <c r="B10" s="28"/>
      <c r="C10" s="28"/>
      <c r="D10" s="28"/>
    </row>
    <row r="11" spans="1:4" x14ac:dyDescent="0.25">
      <c r="A11" s="2" t="s">
        <v>7</v>
      </c>
      <c r="B11" s="3" t="s">
        <v>99</v>
      </c>
    </row>
    <row r="12" spans="1:4" x14ac:dyDescent="0.25">
      <c r="A12" s="2" t="s">
        <v>8</v>
      </c>
      <c r="B12" s="3" t="s">
        <v>100</v>
      </c>
    </row>
    <row r="13" spans="1:4" x14ac:dyDescent="0.25">
      <c r="A13" s="2" t="s">
        <v>9</v>
      </c>
      <c r="B13" s="3">
        <v>47</v>
      </c>
    </row>
    <row r="14" spans="1:4" x14ac:dyDescent="0.25">
      <c r="A14" s="2" t="s">
        <v>10</v>
      </c>
      <c r="B14" s="3" t="s">
        <v>102</v>
      </c>
    </row>
    <row r="16" spans="1:4" x14ac:dyDescent="0.25">
      <c r="A16" s="29" t="s">
        <v>11</v>
      </c>
      <c r="B16" s="28"/>
      <c r="C16" s="28"/>
      <c r="D16" s="28"/>
    </row>
    <row r="17" spans="1:4" x14ac:dyDescent="0.25">
      <c r="A17" s="2" t="s">
        <v>12</v>
      </c>
      <c r="B17" s="3">
        <v>2</v>
      </c>
    </row>
    <row r="19" spans="1:4" x14ac:dyDescent="0.25">
      <c r="A19" s="4" t="s">
        <v>13</v>
      </c>
      <c r="B19" s="4" t="s">
        <v>14</v>
      </c>
      <c r="C19" s="4" t="s">
        <v>15</v>
      </c>
      <c r="D19" s="4" t="s">
        <v>16</v>
      </c>
    </row>
    <row r="20" spans="1:4" x14ac:dyDescent="0.25">
      <c r="A20" s="3" t="s">
        <v>103</v>
      </c>
      <c r="B20" s="3">
        <v>22</v>
      </c>
      <c r="C20" s="3" t="s">
        <v>104</v>
      </c>
      <c r="D20" s="3" t="s">
        <v>105</v>
      </c>
    </row>
    <row r="21" spans="1:4" x14ac:dyDescent="0.25">
      <c r="A21" s="3" t="s">
        <v>106</v>
      </c>
      <c r="B21" s="3">
        <v>17</v>
      </c>
      <c r="C21" s="3" t="s">
        <v>107</v>
      </c>
      <c r="D21" s="3" t="s">
        <v>108</v>
      </c>
    </row>
    <row r="22" spans="1:4" x14ac:dyDescent="0.25">
      <c r="A22" s="3"/>
      <c r="B22" s="3"/>
      <c r="C22" s="3"/>
      <c r="D22" s="3"/>
    </row>
    <row r="24" spans="1:4" x14ac:dyDescent="0.25">
      <c r="A24" s="29" t="s">
        <v>17</v>
      </c>
      <c r="B24" s="28"/>
      <c r="C24" s="28"/>
      <c r="D24" s="28"/>
    </row>
    <row r="25" spans="1:4" x14ac:dyDescent="0.25">
      <c r="A25" s="5" t="s">
        <v>18</v>
      </c>
      <c r="B25" s="6" t="s">
        <v>109</v>
      </c>
    </row>
    <row r="26" spans="1:4" x14ac:dyDescent="0.25">
      <c r="A26" s="5" t="s">
        <v>20</v>
      </c>
      <c r="B26" s="6" t="s">
        <v>19</v>
      </c>
    </row>
    <row r="27" spans="1:4" x14ac:dyDescent="0.25">
      <c r="A27" s="5" t="s">
        <v>21</v>
      </c>
      <c r="B27" s="6" t="s">
        <v>19</v>
      </c>
    </row>
    <row r="28" spans="1:4" x14ac:dyDescent="0.25">
      <c r="A28" s="5" t="s">
        <v>22</v>
      </c>
      <c r="B28" s="6" t="s">
        <v>19</v>
      </c>
    </row>
  </sheetData>
  <mergeCells count="5">
    <mergeCell ref="A1:D1"/>
    <mergeCell ref="A24:D24"/>
    <mergeCell ref="A2:D2"/>
    <mergeCell ref="A16:D16"/>
    <mergeCell ref="A10:D10"/>
  </mergeCells>
  <dataValidations count="1">
    <dataValidation type="list" error="Sélectionnez un statut valide" sqref="B14" xr:uid="{00000000-0002-0000-0000-000000000000}">
      <formula1>"Célibataire,Marié,Pacsé,Divorcé,Veuf"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1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30" customWidth="1"/>
    <col min="4" max="4" width="20" customWidth="1"/>
  </cols>
  <sheetData>
    <row r="1" spans="1:4" ht="24.95" customHeight="1" x14ac:dyDescent="0.25">
      <c r="A1" s="27" t="s">
        <v>23</v>
      </c>
      <c r="B1" s="28"/>
      <c r="C1" s="28"/>
      <c r="D1" s="28"/>
    </row>
    <row r="3" spans="1:4" x14ac:dyDescent="0.25">
      <c r="A3" s="1" t="s">
        <v>24</v>
      </c>
    </row>
    <row r="4" spans="1:4" x14ac:dyDescent="0.25">
      <c r="A4" s="2" t="s">
        <v>25</v>
      </c>
      <c r="B4" s="7"/>
    </row>
    <row r="5" spans="1:4" x14ac:dyDescent="0.25">
      <c r="A5" s="2" t="s">
        <v>26</v>
      </c>
      <c r="B5" s="7"/>
    </row>
    <row r="6" spans="1:4" x14ac:dyDescent="0.25">
      <c r="A6" s="2" t="s">
        <v>27</v>
      </c>
      <c r="B6" s="8">
        <f>B4+B5</f>
        <v>0</v>
      </c>
    </row>
    <row r="9" spans="1:4" x14ac:dyDescent="0.25">
      <c r="A9" s="1" t="s">
        <v>28</v>
      </c>
    </row>
    <row r="10" spans="1:4" x14ac:dyDescent="0.25">
      <c r="A10" s="2" t="s">
        <v>29</v>
      </c>
      <c r="B10" s="7"/>
    </row>
    <row r="11" spans="1:4" x14ac:dyDescent="0.25">
      <c r="A11" s="2" t="s">
        <v>30</v>
      </c>
      <c r="B11" s="3"/>
    </row>
    <row r="13" spans="1:4" x14ac:dyDescent="0.25">
      <c r="A13" s="1" t="s">
        <v>31</v>
      </c>
    </row>
    <row r="14" spans="1:4" x14ac:dyDescent="0.25">
      <c r="A14" s="2" t="s">
        <v>32</v>
      </c>
      <c r="B14" s="9">
        <f>IF(B10&lt;10225,0,IF(B10&lt;26070,0.11,IF(B10&lt;74545,0.3,IF(B10&lt;160336,0.41,0.45))))</f>
        <v>0</v>
      </c>
    </row>
    <row r="17" spans="1:2" x14ac:dyDescent="0.25">
      <c r="A17" s="1" t="s">
        <v>33</v>
      </c>
    </row>
    <row r="18" spans="1:2" x14ac:dyDescent="0.25">
      <c r="A18" s="2" t="s">
        <v>34</v>
      </c>
      <c r="B18" s="10">
        <f>MIN(B6*0.1,35194)</f>
        <v>0</v>
      </c>
    </row>
    <row r="19" spans="1:2" x14ac:dyDescent="0.25">
      <c r="A19" s="2" t="s">
        <v>35</v>
      </c>
      <c r="B19" s="7"/>
    </row>
    <row r="20" spans="1:2" x14ac:dyDescent="0.25">
      <c r="A20" s="11" t="s">
        <v>36</v>
      </c>
      <c r="B20" s="12">
        <f>MIN(B18+B19,35194)</f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selection sqref="A1:D1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30" customWidth="1"/>
    <col min="4" max="4" width="20" customWidth="1"/>
  </cols>
  <sheetData>
    <row r="1" spans="1:4" ht="24.95" customHeight="1" x14ac:dyDescent="0.25">
      <c r="A1" s="27" t="s">
        <v>37</v>
      </c>
      <c r="B1" s="28"/>
      <c r="C1" s="28"/>
      <c r="D1" s="28"/>
    </row>
    <row r="3" spans="1:4" x14ac:dyDescent="0.25">
      <c r="A3" s="1" t="s">
        <v>38</v>
      </c>
    </row>
    <row r="4" spans="1:4" x14ac:dyDescent="0.25">
      <c r="A4" s="2" t="s">
        <v>39</v>
      </c>
      <c r="B4" s="7"/>
    </row>
    <row r="5" spans="1:4" x14ac:dyDescent="0.25">
      <c r="A5" s="2" t="s">
        <v>40</v>
      </c>
      <c r="B5" s="7"/>
    </row>
    <row r="6" spans="1:4" x14ac:dyDescent="0.25">
      <c r="A6" s="13" t="s">
        <v>41</v>
      </c>
      <c r="B6" s="10">
        <f>B4+B5</f>
        <v>0</v>
      </c>
    </row>
    <row r="8" spans="1:4" x14ac:dyDescent="0.25">
      <c r="A8" s="1" t="s">
        <v>42</v>
      </c>
    </row>
    <row r="9" spans="1:4" x14ac:dyDescent="0.25">
      <c r="A9" s="2" t="s">
        <v>43</v>
      </c>
      <c r="B9" s="7"/>
    </row>
    <row r="10" spans="1:4" x14ac:dyDescent="0.25">
      <c r="A10" s="2" t="s">
        <v>44</v>
      </c>
      <c r="B10" s="7"/>
    </row>
    <row r="11" spans="1:4" x14ac:dyDescent="0.25">
      <c r="A11" s="13" t="s">
        <v>45</v>
      </c>
      <c r="B11" s="10">
        <f>B9+B10</f>
        <v>0</v>
      </c>
    </row>
    <row r="13" spans="1:4" x14ac:dyDescent="0.25">
      <c r="A13" s="29" t="s">
        <v>46</v>
      </c>
      <c r="B13" s="28"/>
      <c r="C13" s="28"/>
      <c r="D13" s="28"/>
    </row>
    <row r="14" spans="1:4" x14ac:dyDescent="0.25">
      <c r="A14" s="4" t="s">
        <v>47</v>
      </c>
      <c r="B14" s="4" t="s">
        <v>48</v>
      </c>
      <c r="C14" s="4" t="s">
        <v>49</v>
      </c>
      <c r="D14" s="4" t="s">
        <v>50</v>
      </c>
    </row>
    <row r="15" spans="1:4" x14ac:dyDescent="0.25">
      <c r="A15" s="3"/>
      <c r="B15" s="7"/>
      <c r="C15" s="3"/>
      <c r="D15" s="3"/>
    </row>
    <row r="16" spans="1:4" x14ac:dyDescent="0.25">
      <c r="A16" s="3"/>
      <c r="B16" s="7"/>
      <c r="C16" s="3"/>
      <c r="D16" s="3"/>
    </row>
    <row r="17" spans="1:4" x14ac:dyDescent="0.25">
      <c r="A17" s="3"/>
      <c r="B17" s="7"/>
      <c r="C17" s="3"/>
      <c r="D17" s="3"/>
    </row>
    <row r="18" spans="1:4" x14ac:dyDescent="0.25">
      <c r="A18" s="13" t="s">
        <v>51</v>
      </c>
      <c r="B18" s="10">
        <f>SUM(B15:B17)</f>
        <v>0</v>
      </c>
    </row>
    <row r="20" spans="1:4" x14ac:dyDescent="0.25">
      <c r="A20" s="1" t="s">
        <v>52</v>
      </c>
    </row>
    <row r="21" spans="1:4" x14ac:dyDescent="0.25">
      <c r="A21" s="2" t="s">
        <v>53</v>
      </c>
      <c r="B21" s="7"/>
    </row>
    <row r="22" spans="1:4" x14ac:dyDescent="0.25">
      <c r="A22" s="2" t="s">
        <v>54</v>
      </c>
      <c r="B22" s="7"/>
    </row>
    <row r="24" spans="1:4" ht="15.75" x14ac:dyDescent="0.25">
      <c r="A24" s="14" t="s">
        <v>55</v>
      </c>
      <c r="B24" s="15">
        <f>B6+B11+B18+B21+B22</f>
        <v>0</v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sqref="A1:B1"/>
    </sheetView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ht="24.95" customHeight="1" x14ac:dyDescent="0.25">
      <c r="A1" s="27" t="s">
        <v>56</v>
      </c>
      <c r="B1" s="28"/>
    </row>
    <row r="3" spans="1:2" x14ac:dyDescent="0.25">
      <c r="A3" s="1" t="s">
        <v>57</v>
      </c>
    </row>
    <row r="4" spans="1:2" x14ac:dyDescent="0.25">
      <c r="A4" s="2" t="s">
        <v>58</v>
      </c>
      <c r="B4" s="3"/>
    </row>
    <row r="5" spans="1:2" x14ac:dyDescent="0.25">
      <c r="A5" s="2" t="s">
        <v>59</v>
      </c>
      <c r="B5" s="3"/>
    </row>
    <row r="6" spans="1:2" x14ac:dyDescent="0.25">
      <c r="A6" s="13" t="s">
        <v>60</v>
      </c>
      <c r="B6" s="16">
        <f>B5-B4</f>
        <v>0</v>
      </c>
    </row>
    <row r="8" spans="1:2" x14ac:dyDescent="0.25">
      <c r="A8" s="1" t="s">
        <v>61</v>
      </c>
    </row>
    <row r="9" spans="1:2" x14ac:dyDescent="0.25">
      <c r="A9" s="2" t="s">
        <v>62</v>
      </c>
      <c r="B9" s="7"/>
    </row>
    <row r="10" spans="1:2" x14ac:dyDescent="0.25">
      <c r="A10" s="2" t="s">
        <v>63</v>
      </c>
      <c r="B10" s="7"/>
    </row>
    <row r="12" spans="1:2" x14ac:dyDescent="0.25">
      <c r="A12" s="1" t="s">
        <v>64</v>
      </c>
    </row>
    <row r="13" spans="1:2" x14ac:dyDescent="0.25">
      <c r="A13" s="2" t="s">
        <v>65</v>
      </c>
      <c r="B13" s="7"/>
    </row>
    <row r="14" spans="1:2" x14ac:dyDescent="0.25">
      <c r="A14" s="2" t="s">
        <v>66</v>
      </c>
      <c r="B14" s="17">
        <v>3.5</v>
      </c>
    </row>
    <row r="15" spans="1:2" x14ac:dyDescent="0.25">
      <c r="A15" s="13" t="s">
        <v>67</v>
      </c>
      <c r="B15" s="10">
        <f>B13*POWER(1+B14/100,B6)</f>
        <v>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9.140625" defaultRowHeight="15" x14ac:dyDescent="0.25"/>
  <cols>
    <col min="1" max="1" width="35" customWidth="1"/>
    <col min="2" max="2" width="20" customWidth="1"/>
  </cols>
  <sheetData>
    <row r="1" spans="1:2" ht="24.95" customHeight="1" x14ac:dyDescent="0.25">
      <c r="A1" s="27" t="s">
        <v>68</v>
      </c>
      <c r="B1" s="28"/>
    </row>
    <row r="3" spans="1:2" x14ac:dyDescent="0.25">
      <c r="A3" s="1" t="s">
        <v>69</v>
      </c>
    </row>
    <row r="4" spans="1:2" x14ac:dyDescent="0.25">
      <c r="A4" s="2" t="s">
        <v>70</v>
      </c>
      <c r="B4" s="7">
        <v>0</v>
      </c>
    </row>
    <row r="5" spans="1:2" x14ac:dyDescent="0.25">
      <c r="A5" s="2" t="s">
        <v>29</v>
      </c>
      <c r="B5" s="10">
        <f>FISCALITÉ!B10</f>
        <v>0</v>
      </c>
    </row>
    <row r="6" spans="1:2" x14ac:dyDescent="0.25">
      <c r="A6" s="2" t="s">
        <v>71</v>
      </c>
      <c r="B6" s="9">
        <f>FISCALITÉ!B14</f>
        <v>0</v>
      </c>
    </row>
    <row r="7" spans="1:2" x14ac:dyDescent="0.25">
      <c r="A7" s="13" t="s">
        <v>72</v>
      </c>
      <c r="B7" s="18">
        <f>B4*B6/100</f>
        <v>0</v>
      </c>
    </row>
    <row r="8" spans="1:2" x14ac:dyDescent="0.25">
      <c r="A8" s="13" t="s">
        <v>73</v>
      </c>
      <c r="B8" s="19">
        <f>B4-B7</f>
        <v>0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1"/>
    </sheetView>
  </sheetViews>
  <sheetFormatPr baseColWidth="10" defaultColWidth="9.140625" defaultRowHeight="15" x14ac:dyDescent="0.25"/>
  <cols>
    <col min="1" max="1" width="35" customWidth="1"/>
    <col min="2" max="2" width="20" customWidth="1"/>
  </cols>
  <sheetData>
    <row r="1" spans="1:2" ht="24.95" customHeight="1" x14ac:dyDescent="0.25">
      <c r="A1" s="27" t="s">
        <v>74</v>
      </c>
      <c r="B1" s="28"/>
    </row>
    <row r="3" spans="1:2" x14ac:dyDescent="0.25">
      <c r="A3" s="1" t="s">
        <v>69</v>
      </c>
    </row>
    <row r="4" spans="1:2" x14ac:dyDescent="0.25">
      <c r="A4" s="2" t="s">
        <v>70</v>
      </c>
      <c r="B4" s="20">
        <f>FISCALITÉ!B20</f>
        <v>0</v>
      </c>
    </row>
    <row r="5" spans="1:2" x14ac:dyDescent="0.25">
      <c r="A5" s="2" t="s">
        <v>29</v>
      </c>
      <c r="B5" s="10">
        <f>FISCALITÉ!B10</f>
        <v>0</v>
      </c>
    </row>
    <row r="6" spans="1:2" x14ac:dyDescent="0.25">
      <c r="A6" s="2" t="s">
        <v>71</v>
      </c>
      <c r="B6" s="9">
        <f>FISCALITÉ!B14</f>
        <v>0</v>
      </c>
    </row>
    <row r="7" spans="1:2" x14ac:dyDescent="0.25">
      <c r="A7" s="13" t="s">
        <v>72</v>
      </c>
      <c r="B7" s="18">
        <f>B4*B6/100</f>
        <v>0</v>
      </c>
    </row>
    <row r="8" spans="1:2" x14ac:dyDescent="0.25">
      <c r="A8" s="13" t="s">
        <v>73</v>
      </c>
      <c r="B8" s="19">
        <f>B4-B7</f>
        <v>0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sqref="A1:B1"/>
    </sheetView>
  </sheetViews>
  <sheetFormatPr baseColWidth="10" defaultColWidth="9.140625" defaultRowHeight="15" x14ac:dyDescent="0.25"/>
  <cols>
    <col min="1" max="1" width="35" customWidth="1"/>
    <col min="2" max="2" width="20" customWidth="1"/>
  </cols>
  <sheetData>
    <row r="1" spans="1:2" ht="24.95" customHeight="1" x14ac:dyDescent="0.25">
      <c r="A1" s="27" t="s">
        <v>75</v>
      </c>
      <c r="B1" s="28"/>
    </row>
    <row r="3" spans="1:2" x14ac:dyDescent="0.25">
      <c r="A3" s="1" t="s">
        <v>69</v>
      </c>
    </row>
    <row r="4" spans="1:2" x14ac:dyDescent="0.25">
      <c r="A4" s="2" t="s">
        <v>70</v>
      </c>
      <c r="B4" s="20">
        <f>FISCALITÉ!B20</f>
        <v>0</v>
      </c>
    </row>
    <row r="5" spans="1:2" x14ac:dyDescent="0.25">
      <c r="A5" s="2" t="s">
        <v>29</v>
      </c>
      <c r="B5" s="10">
        <f>FISCALITÉ!B10</f>
        <v>0</v>
      </c>
    </row>
    <row r="6" spans="1:2" x14ac:dyDescent="0.25">
      <c r="A6" s="2" t="s">
        <v>71</v>
      </c>
      <c r="B6" s="9">
        <f>FISCALITÉ!B14</f>
        <v>0</v>
      </c>
    </row>
    <row r="7" spans="1:2" x14ac:dyDescent="0.25">
      <c r="A7" s="13" t="s">
        <v>72</v>
      </c>
      <c r="B7" s="18">
        <f>B4*B6/100</f>
        <v>0</v>
      </c>
    </row>
    <row r="8" spans="1:2" x14ac:dyDescent="0.25">
      <c r="A8" s="13" t="s">
        <v>73</v>
      </c>
      <c r="B8" s="19">
        <f>B4-B7</f>
        <v>0</v>
      </c>
    </row>
    <row r="10" spans="1:2" x14ac:dyDescent="0.25">
      <c r="A10" s="1" t="s">
        <v>76</v>
      </c>
    </row>
    <row r="11" spans="1:2" x14ac:dyDescent="0.25">
      <c r="A11" s="2" t="s">
        <v>77</v>
      </c>
      <c r="B11" s="3" t="s">
        <v>78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sqref="A1:D1"/>
    </sheetView>
  </sheetViews>
  <sheetFormatPr baseColWidth="10" defaultColWidth="9.140625" defaultRowHeight="15" x14ac:dyDescent="0.25"/>
  <cols>
    <col min="1" max="1" width="30" customWidth="1"/>
    <col min="2" max="4" width="20" customWidth="1"/>
  </cols>
  <sheetData>
    <row r="1" spans="1:4" ht="24.95" customHeight="1" x14ac:dyDescent="0.25">
      <c r="A1" s="27" t="s">
        <v>79</v>
      </c>
      <c r="B1" s="28"/>
      <c r="C1" s="28"/>
      <c r="D1" s="28"/>
    </row>
    <row r="3" spans="1:4" x14ac:dyDescent="0.25">
      <c r="A3" s="4"/>
      <c r="B3" s="4" t="s">
        <v>80</v>
      </c>
      <c r="C3" s="4" t="s">
        <v>81</v>
      </c>
      <c r="D3" s="4" t="s">
        <v>82</v>
      </c>
    </row>
    <row r="4" spans="1:4" x14ac:dyDescent="0.25">
      <c r="A4" s="2" t="s">
        <v>83</v>
      </c>
      <c r="B4" s="21">
        <f>'SCENARIO 1'!B3</f>
        <v>0</v>
      </c>
      <c r="C4" s="21">
        <f>'SCENARIO 2'!B3</f>
        <v>0</v>
      </c>
      <c r="D4" s="21">
        <f>'SCENARIO 3'!B3</f>
        <v>0</v>
      </c>
    </row>
    <row r="5" spans="1:4" x14ac:dyDescent="0.25">
      <c r="A5" s="2" t="s">
        <v>84</v>
      </c>
      <c r="B5" s="21">
        <f>'SCENARIO 1'!B4</f>
        <v>0</v>
      </c>
      <c r="C5" s="21">
        <f>'SCENARIO 2'!B4</f>
        <v>0</v>
      </c>
      <c r="D5" s="21">
        <f>'SCENARIO 3'!B4</f>
        <v>0</v>
      </c>
    </row>
    <row r="6" spans="1:4" x14ac:dyDescent="0.25">
      <c r="A6" s="2" t="s">
        <v>85</v>
      </c>
      <c r="B6" s="21">
        <f>'SCENARIO 1'!B5</f>
        <v>0</v>
      </c>
      <c r="C6" s="21">
        <f>'SCENARIO 2'!B5</f>
        <v>0</v>
      </c>
      <c r="D6" s="21">
        <f>'SCENARIO 3'!B5</f>
        <v>0</v>
      </c>
    </row>
    <row r="7" spans="1:4" x14ac:dyDescent="0.25">
      <c r="A7" s="2" t="s">
        <v>67</v>
      </c>
      <c r="B7" s="21">
        <f>'SCENARIO 1'!B6</f>
        <v>0</v>
      </c>
      <c r="C7" s="21">
        <f>'SCENARIO 2'!B6</f>
        <v>0</v>
      </c>
      <c r="D7" s="21">
        <f>'SCENARIO 3'!B6</f>
        <v>0</v>
      </c>
    </row>
    <row r="10" spans="1:4" x14ac:dyDescent="0.25">
      <c r="A10" s="29" t="s">
        <v>86</v>
      </c>
      <c r="B10" s="28"/>
      <c r="C10" s="28"/>
      <c r="D10" s="28"/>
    </row>
    <row r="12" spans="1:4" x14ac:dyDescent="0.25">
      <c r="A12" s="22" t="s">
        <v>87</v>
      </c>
    </row>
    <row r="13" spans="1:4" x14ac:dyDescent="0.25">
      <c r="A13" s="30" t="s">
        <v>88</v>
      </c>
      <c r="B13" s="28"/>
      <c r="C13" s="28"/>
      <c r="D13" s="28"/>
    </row>
  </sheetData>
  <mergeCells count="3">
    <mergeCell ref="A1:D1"/>
    <mergeCell ref="A13:D13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A12" sqref="A12"/>
    </sheetView>
  </sheetViews>
  <sheetFormatPr baseColWidth="10" defaultColWidth="9.140625" defaultRowHeight="15" x14ac:dyDescent="0.25"/>
  <cols>
    <col min="1" max="2" width="50" customWidth="1"/>
  </cols>
  <sheetData>
    <row r="1" spans="1:2" ht="24.95" customHeight="1" x14ac:dyDescent="0.3">
      <c r="A1" s="31" t="s">
        <v>89</v>
      </c>
      <c r="B1" s="28"/>
    </row>
    <row r="3" spans="1:2" x14ac:dyDescent="0.25">
      <c r="A3" s="23" t="s">
        <v>90</v>
      </c>
    </row>
    <row r="4" spans="1:2" x14ac:dyDescent="0.25">
      <c r="A4" s="24" t="s">
        <v>91</v>
      </c>
    </row>
    <row r="5" spans="1:2" ht="26.25" x14ac:dyDescent="0.25">
      <c r="A5" s="24" t="s">
        <v>92</v>
      </c>
    </row>
    <row r="6" spans="1:2" x14ac:dyDescent="0.25">
      <c r="A6" s="24" t="s">
        <v>93</v>
      </c>
    </row>
    <row r="7" spans="1:2" ht="26.25" x14ac:dyDescent="0.25">
      <c r="A7" s="24" t="s">
        <v>98</v>
      </c>
    </row>
    <row r="8" spans="1:2" x14ac:dyDescent="0.25">
      <c r="A8" s="24"/>
    </row>
    <row r="9" spans="1:2" ht="26.25" x14ac:dyDescent="0.25">
      <c r="A9" s="24" t="s">
        <v>94</v>
      </c>
    </row>
    <row r="11" spans="1:2" x14ac:dyDescent="0.25">
      <c r="A11" s="25" t="s">
        <v>95</v>
      </c>
    </row>
    <row r="12" spans="1:2" ht="99.95" customHeight="1" x14ac:dyDescent="0.25">
      <c r="A12" s="26" t="s">
        <v>96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CLIENT</vt:lpstr>
      <vt:lpstr>FISCALITÉ</vt:lpstr>
      <vt:lpstr>PATRIMOINE</vt:lpstr>
      <vt:lpstr>RETRAITE</vt:lpstr>
      <vt:lpstr>SCENARIO 1</vt:lpstr>
      <vt:lpstr>SCENARIO 2</vt:lpstr>
      <vt:lpstr>SCENARIO 3</vt:lpstr>
      <vt:lpstr>SYNTHÈSE</vt:lpstr>
      <vt:lpstr>EXPORT 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Loup LEHUGER</cp:lastModifiedBy>
  <dcterms:created xsi:type="dcterms:W3CDTF">2026-05-28T19:57:13Z</dcterms:created>
  <dcterms:modified xsi:type="dcterms:W3CDTF">2026-05-28T20:05:55Z</dcterms:modified>
</cp:coreProperties>
</file>